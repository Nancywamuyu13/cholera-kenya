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 activeTab="1"/>
  </bookViews>
  <sheets>
    <sheet name="ee-chart" sheetId="1" r:id="rId1"/>
    <sheet name="Ra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<sst xmlns="http://schemas.openxmlformats.org/spreadsheetml/2006/main" count="138" uniqueCount="36">
  <si>
    <t>year</t>
  </si>
  <si>
    <t>mean_annual_rainfall_mm</t>
  </si>
  <si>
    <t>Yes</t>
  </si>
  <si>
    <t>No</t>
  </si>
  <si>
    <t>YEAR</t>
  </si>
  <si>
    <t>Cases</t>
  </si>
  <si>
    <t>Reported</t>
  </si>
  <si>
    <t>Cases_paired</t>
  </si>
  <si>
    <t>Rain_paired</t>
  </si>
  <si>
    <t>Cases_next_year</t>
  </si>
  <si>
    <t>Rain_lag_paired</t>
  </si>
  <si>
    <t>Cases_clean</t>
  </si>
  <si>
    <t>Epidemic</t>
  </si>
  <si>
    <t>Measure</t>
  </si>
  <si>
    <t>Value</t>
  </si>
  <si>
    <t>Epidemi_cases</t>
  </si>
  <si>
    <t>Other_years</t>
  </si>
  <si>
    <t>Yearss reported</t>
  </si>
  <si>
    <t>Total cases</t>
  </si>
  <si>
    <t>Mean per year</t>
  </si>
  <si>
    <t>Median per year</t>
  </si>
  <si>
    <t>Peak cases</t>
  </si>
  <si>
    <t>Peak year</t>
  </si>
  <si>
    <t>Lowest cases</t>
  </si>
  <si>
    <t>Epidemin threshold</t>
  </si>
  <si>
    <t>Epidemic years</t>
  </si>
  <si>
    <t>Period</t>
  </si>
  <si>
    <t>Start</t>
  </si>
  <si>
    <t>End</t>
  </si>
  <si>
    <t>Years reported</t>
  </si>
  <si>
    <t>Mean per reported year</t>
  </si>
  <si>
    <t>1981-89</t>
  </si>
  <si>
    <t>1990-99</t>
  </si>
  <si>
    <t>2000-09</t>
  </si>
  <si>
    <t>2010-19</t>
  </si>
  <si>
    <t>2020-24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</si>
</sst>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/>
              <a:t>Reported Cholera Cases in Kenya</a:t>
            </a:r>
            <a:endParaRPr lang="en-GB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Rain!$W$1</c:f>
              <c:strCache>
                <c:ptCount val="1"/>
                <c:pt idx="0">
                  <c:v>Other_years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numRef>
              <c:f>Rain!$C$2:$C$45</c:f>
              <c:numCache>
                <c:formatCode>General</c:formatCode>
                <c:ptCount val="4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</c:numCache>
            </c:numRef>
          </c:cat>
          <c:val>
            <c:numRef>
              <c:f>Rain!$W$2:$W$45</c:f>
              <c:numCache>
                <c:formatCode>General</c:formatCode>
                <c:ptCount val="44"/>
                <c:pt idx="0">
                  <c:v>2424</c:v>
                </c:pt>
                <c:pt idx="1">
                  <c:v>3498</c:v>
                </c:pt>
                <c:pt idx="2">
                  <c:v>1049</c:v>
                </c:pt>
                <c:pt idx="3">
                  <c:v>14</c:v>
                </c:pt>
                <c:pt idx="4">
                  <c:v>1352</c:v>
                </c:pt>
                <c:pt idx="5">
                  <c:v>839</c:v>
                </c:pt>
                <c:pt idx="6">
                  <c:v>255</c:v>
                </c:pt>
                <c:pt idx="7">
                  <c:v>#N/A</c:v>
                </c:pt>
                <c:pt idx="8">
                  <c:v>918</c:v>
                </c:pt>
                <c:pt idx="9">
                  <c:v>#N/A</c:v>
                </c:pt>
                <c:pt idx="10">
                  <c:v>#N/A</c:v>
                </c:pt>
                <c:pt idx="11">
                  <c:v>3388</c:v>
                </c:pt>
                <c:pt idx="12">
                  <c:v>#N/A</c:v>
                </c:pt>
                <c:pt idx="13">
                  <c:v>880</c:v>
                </c:pt>
                <c:pt idx="14">
                  <c:v>1547</c:v>
                </c:pt>
                <c:pt idx="15">
                  <c:v>482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1157</c:v>
                </c:pt>
                <c:pt idx="20">
                  <c:v>1001</c:v>
                </c:pt>
                <c:pt idx="21">
                  <c:v>291</c:v>
                </c:pt>
                <c:pt idx="22">
                  <c:v>#N/A</c:v>
                </c:pt>
                <c:pt idx="23">
                  <c:v>870</c:v>
                </c:pt>
                <c:pt idx="24">
                  <c:v>816</c:v>
                </c:pt>
                <c:pt idx="25">
                  <c:v>870</c:v>
                </c:pt>
                <c:pt idx="26">
                  <c:v>1206</c:v>
                </c:pt>
                <c:pt idx="27">
                  <c:v>3091</c:v>
                </c:pt>
                <c:pt idx="28">
                  <c:v>#N/A</c:v>
                </c:pt>
                <c:pt idx="29">
                  <c:v>3188</c:v>
                </c:pt>
                <c:pt idx="30">
                  <c:v>74</c:v>
                </c:pt>
                <c:pt idx="31">
                  <c:v>#N/A</c:v>
                </c:pt>
                <c:pt idx="32">
                  <c:v>#N/A</c:v>
                </c:pt>
                <c:pt idx="33">
                  <c:v>35</c:v>
                </c:pt>
                <c:pt idx="34">
                  <c:v>#N/A</c:v>
                </c:pt>
                <c:pt idx="35">
                  <c:v>#N/A</c:v>
                </c:pt>
                <c:pt idx="36">
                  <c:v>4288</c:v>
                </c:pt>
                <c:pt idx="37">
                  <c:v>#N/A</c:v>
                </c:pt>
                <c:pt idx="38">
                  <c:v>#N/A</c:v>
                </c:pt>
                <c:pt idx="39">
                  <c:v>447</c:v>
                </c:pt>
                <c:pt idx="40">
                  <c:v>38</c:v>
                </c:pt>
                <c:pt idx="41">
                  <c:v>3525</c:v>
                </c:pt>
                <c:pt idx="42">
                  <c:v>#N/A</c:v>
                </c:pt>
                <c:pt idx="43">
                  <c:v>302</c:v>
                </c:pt>
              </c:numCache>
            </c:numRef>
          </c:val>
        </c:ser>
        <c:ser>
          <c:idx val="0"/>
          <c:order val="1"/>
          <c:tx>
            <c:strRef>
              <c:f>Rain!$V$1</c:f>
              <c:strCache>
                <c:ptCount val="1"/>
                <c:pt idx="0">
                  <c:v>Epidemi_cases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numRef>
              <c:f>Rain!$C$2:$C$45</c:f>
              <c:numCache>
                <c:formatCode>General</c:formatCode>
                <c:ptCount val="44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  <c:pt idx="36">
                  <c:v>2017</c:v>
                </c:pt>
                <c:pt idx="37">
                  <c:v>2018</c:v>
                </c:pt>
                <c:pt idx="38">
                  <c:v>2019</c:v>
                </c:pt>
                <c:pt idx="39">
                  <c:v>2020</c:v>
                </c:pt>
                <c:pt idx="40">
                  <c:v>2021</c:v>
                </c:pt>
                <c:pt idx="41">
                  <c:v>2022</c:v>
                </c:pt>
                <c:pt idx="42">
                  <c:v>2023</c:v>
                </c:pt>
                <c:pt idx="43">
                  <c:v>2024</c:v>
                </c:pt>
              </c:numCache>
            </c:numRef>
          </c:cat>
          <c:val>
            <c:numRef>
              <c:f>Rain!$V$2:$V$45</c:f>
              <c:numCache>
                <c:formatCode>General</c:formatCode>
                <c:ptCount val="4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17200</c:v>
                </c:pt>
                <c:pt idx="17">
                  <c:v>22432</c:v>
                </c:pt>
                <c:pt idx="18">
                  <c:v>11039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11425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13291</c:v>
                </c:pt>
                <c:pt idx="35">
                  <c:v>5866</c:v>
                </c:pt>
                <c:pt idx="36">
                  <c:v>#N/A</c:v>
                </c:pt>
                <c:pt idx="37">
                  <c:v>5719</c:v>
                </c:pt>
                <c:pt idx="38">
                  <c:v>5208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8809</c:v>
                </c:pt>
                <c:pt idx="43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90853738"/>
        <c:axId val="314795937"/>
      </c:barChart>
      <c:catAx>
        <c:axId val="49085373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en-US"/>
                  <a:t>Year</a:t>
                </a:r>
                <a:endParaRPr lang="en-GB" altLang="en-US"/>
              </a:p>
            </c:rich>
          </c:tx>
          <c:layout>
            <c:manualLayout>
              <c:xMode val="edge"/>
              <c:yMode val="edge"/>
              <c:x val="0.506574645840901"/>
              <c:y val="0.81033138401559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4795937"/>
        <c:crosses val="autoZero"/>
        <c:auto val="1"/>
        <c:lblAlgn val="ctr"/>
        <c:lblOffset val="100"/>
        <c:noMultiLvlLbl val="0"/>
      </c:catAx>
      <c:valAx>
        <c:axId val="3147959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en-US"/>
                  <a:t>Reported Cases</a:t>
                </a:r>
                <a:endParaRPr lang="en-GB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08537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Mean </a:t>
            </a:r>
            <a:r>
              <a:rPr lang="en-GB" altLang="en-US"/>
              <a:t>reported cholera cases per reported year</a:t>
            </a:r>
            <a:endParaRPr lang="en-GB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Rain!$O$24</c:f>
              <c:strCache>
                <c:ptCount val="1"/>
                <c:pt idx="0">
                  <c:v>Mean per reported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numFmt formatCode="#,##0;[Red]\-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#,##0;[Red]\-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#,##0;[Red]\-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#,##0;[Red]\-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#,##0;[Red]\-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Rain!$N$25:$N$29</c:f>
              <c:strCache>
                <c:ptCount val="5"/>
                <c:pt idx="0">
                  <c:v>1981-89</c:v>
                </c:pt>
                <c:pt idx="1">
                  <c:v>1990-99</c:v>
                </c:pt>
                <c:pt idx="2">
                  <c:v>2000-09</c:v>
                </c:pt>
                <c:pt idx="3">
                  <c:v>2010-19</c:v>
                </c:pt>
                <c:pt idx="4">
                  <c:v>2020-24</c:v>
                </c:pt>
              </c:strCache>
            </c:strRef>
          </c:cat>
          <c:val>
            <c:numRef>
              <c:f>Rain!$O$25:$O$29</c:f>
              <c:numCache>
                <c:formatCode>General</c:formatCode>
                <c:ptCount val="5"/>
                <c:pt idx="0">
                  <c:v>1293.625</c:v>
                </c:pt>
                <c:pt idx="1">
                  <c:v>8138.28571428571</c:v>
                </c:pt>
                <c:pt idx="2">
                  <c:v>2303</c:v>
                </c:pt>
                <c:pt idx="3">
                  <c:v>4708.625</c:v>
                </c:pt>
                <c:pt idx="4">
                  <c:v>2624.2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11713993"/>
        <c:axId val="965194453"/>
      </c:barChart>
      <c:catAx>
        <c:axId val="11171399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en-US"/>
                  <a:t>Period</a:t>
                </a:r>
                <a:endParaRPr lang="en-GB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194453"/>
        <c:crosses val="autoZero"/>
        <c:auto val="1"/>
        <c:lblAlgn val="ctr"/>
        <c:lblOffset val="100"/>
        <c:noMultiLvlLbl val="0"/>
      </c:catAx>
      <c:valAx>
        <c:axId val="9651944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en-US"/>
                  <a:t>Cases per reported year</a:t>
                </a:r>
                <a:endParaRPr lang="en-GB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7139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454025</xdr:colOff>
      <xdr:row>31</xdr:row>
      <xdr:rowOff>63500</xdr:rowOff>
    </xdr:from>
    <xdr:to>
      <xdr:col>23</xdr:col>
      <xdr:colOff>574040</xdr:colOff>
      <xdr:row>48</xdr:row>
      <xdr:rowOff>82550</xdr:rowOff>
    </xdr:to>
    <xdr:graphicFrame>
      <xdr:nvGraphicFramePr>
        <xdr:cNvPr id="5" name="Chart 4"/>
        <xdr:cNvGraphicFramePr/>
      </xdr:nvGraphicFramePr>
      <xdr:xfrm>
        <a:off x="12693650" y="6159500"/>
        <a:ext cx="5244465" cy="3257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155575</xdr:colOff>
      <xdr:row>20</xdr:row>
      <xdr:rowOff>63500</xdr:rowOff>
    </xdr:from>
    <xdr:to>
      <xdr:col>18</xdr:col>
      <xdr:colOff>104775</xdr:colOff>
      <xdr:row>34</xdr:row>
      <xdr:rowOff>139700</xdr:rowOff>
    </xdr:to>
    <xdr:graphicFrame>
      <xdr:nvGraphicFramePr>
        <xdr:cNvPr id="11" name="Chart 10"/>
        <xdr:cNvGraphicFramePr/>
      </xdr:nvGraphicFramePr>
      <xdr:xfrm>
        <a:off x="9347200" y="4064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zoomScaleSheetLayoutView="60" topLeftCell="A49" workbookViewId="0">
      <selection activeCell="K30" sqref="K30"/>
    </sheetView>
  </sheetViews>
  <sheetFormatPr defaultColWidth="10.2857142857143" defaultRowHeight="15" outlineLevelCol="6"/>
  <cols>
    <col min="1" max="1" width="20.5714285714286" customWidth="1"/>
    <col min="2" max="2" width="33" customWidth="1"/>
  </cols>
  <sheetData>
    <row r="1" spans="1:7">
      <c r="A1" t="s">
        <v>0</v>
      </c>
      <c r="B1" t="s">
        <v>1</v>
      </c>
    </row>
    <row r="2" spans="1:7">
      <c r="A2" s="1">
        <v>1981</v>
      </c>
      <c r="B2">
        <v>685.675</v>
      </c>
    </row>
    <row r="3" spans="1:7">
      <c r="A3" s="1">
        <v>1982</v>
      </c>
      <c r="B3">
        <v>718.803</v>
      </c>
    </row>
    <row r="4" spans="1:7">
      <c r="A4" s="1">
        <v>1983</v>
      </c>
      <c r="B4">
        <v>478.041</v>
      </c>
    </row>
    <row r="5" spans="1:7">
      <c r="A5" s="1">
        <v>1984</v>
      </c>
      <c r="B5">
        <v>479.171</v>
      </c>
    </row>
    <row r="6" spans="1:7">
      <c r="A6" s="1">
        <v>1985</v>
      </c>
      <c r="B6">
        <v>576.04</v>
      </c>
    </row>
    <row r="7" spans="1:7">
      <c r="A7" s="1">
        <v>1986</v>
      </c>
      <c r="B7">
        <v>601.587</v>
      </c>
    </row>
    <row r="8" spans="1:7">
      <c r="A8" s="1">
        <v>1987</v>
      </c>
      <c r="B8">
        <v>497.057</v>
      </c>
    </row>
    <row r="9" spans="1:7">
      <c r="A9" s="1">
        <v>1988</v>
      </c>
      <c r="B9">
        <v>670.155</v>
      </c>
    </row>
    <row r="10" spans="1:7">
      <c r="A10" s="1">
        <v>1989</v>
      </c>
      <c r="B10">
        <v>657.173</v>
      </c>
    </row>
    <row r="11" spans="1:7">
      <c r="A11" s="1">
        <v>1990</v>
      </c>
      <c r="B11">
        <v>694.769</v>
      </c>
      <c r="F11">
        <v>239</v>
      </c>
      <c r="G11" t="s">
        <v>2</v>
      </c>
    </row>
    <row r="12" spans="1:7">
      <c r="A12" s="1">
        <v>1991</v>
      </c>
      <c r="B12">
        <v>537.924</v>
      </c>
      <c r="E12">
        <v>1972</v>
      </c>
      <c r="F12">
        <v>51</v>
      </c>
      <c r="G12" t="s">
        <v>2</v>
      </c>
    </row>
    <row r="13" spans="1:7">
      <c r="A13" s="1">
        <v>1992</v>
      </c>
      <c r="B13">
        <v>562.841</v>
      </c>
      <c r="E13">
        <v>1973</v>
      </c>
      <c r="F13" t="e">
        <v>#N/A</v>
      </c>
      <c r="G13" t="s">
        <v>3</v>
      </c>
    </row>
    <row r="14" spans="1:7">
      <c r="A14" s="1">
        <v>1993</v>
      </c>
      <c r="B14">
        <v>499.866</v>
      </c>
      <c r="E14">
        <v>1974</v>
      </c>
      <c r="F14">
        <v>402</v>
      </c>
      <c r="G14" t="s">
        <v>2</v>
      </c>
    </row>
    <row r="15" spans="1:7">
      <c r="A15" s="1">
        <v>1994</v>
      </c>
      <c r="B15">
        <v>644.379</v>
      </c>
      <c r="E15">
        <v>1975</v>
      </c>
      <c r="F15">
        <v>1093</v>
      </c>
      <c r="G15" t="s">
        <v>2</v>
      </c>
    </row>
    <row r="16" spans="1:7">
      <c r="A16" s="1">
        <v>1995</v>
      </c>
      <c r="B16">
        <v>574.623</v>
      </c>
      <c r="E16">
        <v>1976</v>
      </c>
      <c r="F16">
        <v>1359</v>
      </c>
      <c r="G16" t="s">
        <v>2</v>
      </c>
    </row>
    <row r="17" spans="1:7">
      <c r="A17" s="1">
        <v>1996</v>
      </c>
      <c r="B17">
        <v>510.092</v>
      </c>
      <c r="E17">
        <v>1977</v>
      </c>
      <c r="F17">
        <v>21</v>
      </c>
      <c r="G17" t="s">
        <v>2</v>
      </c>
    </row>
    <row r="18" spans="1:7">
      <c r="A18" s="1">
        <v>1997</v>
      </c>
      <c r="B18">
        <v>970.649</v>
      </c>
      <c r="E18">
        <v>1978</v>
      </c>
      <c r="F18">
        <v>673</v>
      </c>
      <c r="G18" t="s">
        <v>2</v>
      </c>
    </row>
    <row r="19" spans="1:7">
      <c r="A19" s="1">
        <v>1998</v>
      </c>
      <c r="B19">
        <v>607.315</v>
      </c>
      <c r="E19">
        <v>1979</v>
      </c>
      <c r="F19">
        <v>1070</v>
      </c>
      <c r="G19" t="s">
        <v>2</v>
      </c>
    </row>
    <row r="20" spans="1:7">
      <c r="A20" s="1">
        <v>1999</v>
      </c>
      <c r="B20">
        <v>529.073</v>
      </c>
      <c r="E20">
        <v>1980</v>
      </c>
      <c r="F20">
        <v>2808</v>
      </c>
      <c r="G20" t="s">
        <v>2</v>
      </c>
    </row>
    <row r="21" spans="1:7">
      <c r="A21" s="1">
        <v>2000</v>
      </c>
      <c r="B21">
        <v>429.401</v>
      </c>
    </row>
    <row r="22" spans="1:7">
      <c r="A22" s="1">
        <v>2001</v>
      </c>
      <c r="B22">
        <v>571.85</v>
      </c>
    </row>
    <row r="23" spans="1:7">
      <c r="A23" s="1">
        <v>2002</v>
      </c>
      <c r="B23">
        <v>678.49</v>
      </c>
    </row>
    <row r="24" spans="1:7">
      <c r="A24" s="1">
        <v>2003</v>
      </c>
      <c r="B24">
        <v>598.184</v>
      </c>
    </row>
    <row r="25" spans="1:7">
      <c r="A25" s="1">
        <v>2004</v>
      </c>
      <c r="B25">
        <v>580.998</v>
      </c>
    </row>
    <row r="26" spans="1:7">
      <c r="A26" s="1">
        <v>2005</v>
      </c>
      <c r="B26">
        <v>450.523</v>
      </c>
    </row>
    <row r="27" spans="1:7">
      <c r="A27" s="1">
        <v>2006</v>
      </c>
      <c r="B27">
        <v>809.7</v>
      </c>
      <c r="D27">
        <v>1981</v>
      </c>
      <c r="E27">
        <v>2424</v>
      </c>
      <c r="F27" t="s">
        <v>2</v>
      </c>
    </row>
    <row r="28" spans="1:7">
      <c r="A28" s="1">
        <v>2007</v>
      </c>
      <c r="B28">
        <v>588.344</v>
      </c>
      <c r="D28">
        <v>1982</v>
      </c>
      <c r="E28">
        <v>3498</v>
      </c>
      <c r="F28" t="s">
        <v>2</v>
      </c>
    </row>
    <row r="29" spans="1:7">
      <c r="A29" s="1">
        <v>2008</v>
      </c>
      <c r="B29">
        <v>523.011</v>
      </c>
      <c r="D29">
        <v>1983</v>
      </c>
      <c r="E29">
        <v>1049</v>
      </c>
      <c r="F29" t="s">
        <v>2</v>
      </c>
    </row>
    <row r="30" spans="1:7">
      <c r="A30" s="1">
        <v>2009</v>
      </c>
      <c r="B30">
        <v>499.435</v>
      </c>
      <c r="D30">
        <v>1984</v>
      </c>
      <c r="E30">
        <v>14</v>
      </c>
      <c r="F30" t="s">
        <v>2</v>
      </c>
    </row>
    <row r="31" spans="1:7">
      <c r="A31" s="1">
        <v>2010</v>
      </c>
      <c r="B31">
        <v>621.004</v>
      </c>
      <c r="D31">
        <v>1985</v>
      </c>
      <c r="E31">
        <v>1352</v>
      </c>
      <c r="F31" t="s">
        <v>2</v>
      </c>
    </row>
    <row r="32" spans="1:7">
      <c r="A32" s="1">
        <v>2011</v>
      </c>
      <c r="B32">
        <v>651.887</v>
      </c>
      <c r="D32">
        <v>1986</v>
      </c>
      <c r="E32">
        <v>839</v>
      </c>
      <c r="F32" t="s">
        <v>2</v>
      </c>
    </row>
    <row r="33" spans="1:6">
      <c r="A33" s="1">
        <v>2012</v>
      </c>
      <c r="B33">
        <v>643.248</v>
      </c>
      <c r="D33">
        <v>1987</v>
      </c>
      <c r="E33">
        <v>255</v>
      </c>
      <c r="F33" t="s">
        <v>2</v>
      </c>
    </row>
    <row r="34" spans="1:6">
      <c r="A34" s="1">
        <v>2013</v>
      </c>
      <c r="B34">
        <v>668.949</v>
      </c>
      <c r="D34">
        <v>1988</v>
      </c>
      <c r="E34" t="e">
        <v>#N/A</v>
      </c>
      <c r="F34" t="s">
        <v>3</v>
      </c>
    </row>
    <row r="35" spans="1:6">
      <c r="A35" s="1">
        <v>2014</v>
      </c>
      <c r="B35">
        <v>573.577</v>
      </c>
      <c r="D35">
        <v>1989</v>
      </c>
      <c r="E35">
        <v>918</v>
      </c>
      <c r="F35" t="s">
        <v>2</v>
      </c>
    </row>
    <row r="36" spans="1:6">
      <c r="A36" s="1">
        <v>2015</v>
      </c>
      <c r="B36">
        <v>668.646</v>
      </c>
      <c r="D36">
        <v>1990</v>
      </c>
      <c r="E36" t="e">
        <v>#N/A</v>
      </c>
      <c r="F36" t="s">
        <v>3</v>
      </c>
    </row>
    <row r="37" spans="1:6">
      <c r="A37" s="1">
        <v>2016</v>
      </c>
      <c r="B37">
        <v>533.888</v>
      </c>
      <c r="D37">
        <v>1991</v>
      </c>
      <c r="E37" t="e">
        <v>#N/A</v>
      </c>
      <c r="F37" t="s">
        <v>3</v>
      </c>
    </row>
    <row r="38" spans="1:6">
      <c r="A38" s="1">
        <v>2017</v>
      </c>
      <c r="B38">
        <v>543.493</v>
      </c>
      <c r="D38">
        <v>1992</v>
      </c>
      <c r="E38">
        <v>3388</v>
      </c>
      <c r="F38" t="s">
        <v>2</v>
      </c>
    </row>
    <row r="39" spans="1:6">
      <c r="A39" s="1">
        <v>2018</v>
      </c>
      <c r="B39">
        <v>882.313</v>
      </c>
      <c r="D39">
        <v>1993</v>
      </c>
      <c r="E39" t="e">
        <v>#N/A</v>
      </c>
      <c r="F39" t="s">
        <v>3</v>
      </c>
    </row>
    <row r="40" spans="1:6">
      <c r="A40" s="1">
        <v>2019</v>
      </c>
      <c r="B40">
        <v>831.749</v>
      </c>
      <c r="D40">
        <v>1994</v>
      </c>
      <c r="E40">
        <v>880</v>
      </c>
      <c r="F40" t="s">
        <v>2</v>
      </c>
    </row>
    <row r="41" spans="1:6">
      <c r="A41" s="1">
        <v>2020</v>
      </c>
      <c r="B41">
        <v>843.661</v>
      </c>
      <c r="D41">
        <v>1995</v>
      </c>
      <c r="E41">
        <v>1547</v>
      </c>
      <c r="F41" t="s">
        <v>2</v>
      </c>
    </row>
    <row r="42" spans="1:6">
      <c r="A42" s="1">
        <v>2021</v>
      </c>
      <c r="B42">
        <v>538.512</v>
      </c>
      <c r="D42">
        <v>1996</v>
      </c>
      <c r="E42">
        <v>482</v>
      </c>
      <c r="F42" t="s">
        <v>2</v>
      </c>
    </row>
    <row r="43" spans="1:6">
      <c r="A43" s="1">
        <v>2022</v>
      </c>
      <c r="B43">
        <v>529.564</v>
      </c>
      <c r="D43">
        <v>1997</v>
      </c>
      <c r="E43">
        <v>17200</v>
      </c>
      <c r="F43" t="s">
        <v>2</v>
      </c>
    </row>
    <row r="44" spans="1:6">
      <c r="A44" s="1">
        <v>2023</v>
      </c>
      <c r="B44">
        <v>856.98</v>
      </c>
      <c r="D44">
        <v>1998</v>
      </c>
      <c r="E44">
        <v>22432</v>
      </c>
      <c r="F44" t="s">
        <v>2</v>
      </c>
    </row>
    <row r="45" spans="1:6">
      <c r="A45" s="1">
        <v>2024</v>
      </c>
      <c r="B45">
        <v>763.005</v>
      </c>
      <c r="D45">
        <v>1999</v>
      </c>
      <c r="E45">
        <v>11039</v>
      </c>
      <c r="F45" t="s">
        <v>2</v>
      </c>
    </row>
    <row r="46" spans="1:6">
      <c r="D46">
        <v>2000</v>
      </c>
      <c r="E46">
        <v>1157</v>
      </c>
      <c r="F46" t="s">
        <v>2</v>
      </c>
    </row>
    <row r="47" spans="1:6">
      <c r="D47">
        <v>2001</v>
      </c>
      <c r="E47">
        <v>1001</v>
      </c>
      <c r="F47" t="s">
        <v>2</v>
      </c>
    </row>
    <row r="48" spans="1:6">
      <c r="D48">
        <v>2002</v>
      </c>
      <c r="E48">
        <v>291</v>
      </c>
      <c r="F48" t="s">
        <v>2</v>
      </c>
    </row>
    <row r="49" spans="4:6">
      <c r="D49">
        <v>2003</v>
      </c>
      <c r="E49" t="e">
        <v>#N/A</v>
      </c>
      <c r="F49" t="s">
        <v>3</v>
      </c>
    </row>
    <row r="50" spans="4:6">
      <c r="D50">
        <v>2004</v>
      </c>
      <c r="E50">
        <v>870</v>
      </c>
      <c r="F50" t="s">
        <v>2</v>
      </c>
    </row>
    <row r="51" spans="4:6">
      <c r="D51">
        <v>2005</v>
      </c>
      <c r="E51">
        <v>816</v>
      </c>
      <c r="F51" t="s">
        <v>2</v>
      </c>
    </row>
    <row r="52" spans="4:6">
      <c r="D52">
        <v>2006</v>
      </c>
      <c r="E52">
        <v>870</v>
      </c>
      <c r="F52" t="s">
        <v>2</v>
      </c>
    </row>
    <row r="53" spans="4:6">
      <c r="D53">
        <v>2007</v>
      </c>
      <c r="E53">
        <v>1206</v>
      </c>
      <c r="F53" t="s">
        <v>2</v>
      </c>
    </row>
    <row r="54" spans="4:6">
      <c r="D54">
        <v>2008</v>
      </c>
      <c r="E54">
        <v>3091</v>
      </c>
      <c r="F54" t="s">
        <v>2</v>
      </c>
    </row>
    <row r="55" spans="4:6">
      <c r="D55">
        <v>2009</v>
      </c>
      <c r="E55">
        <v>11425</v>
      </c>
      <c r="F55" t="s">
        <v>2</v>
      </c>
    </row>
    <row r="56" spans="4:6">
      <c r="D56">
        <v>2010</v>
      </c>
      <c r="E56">
        <v>3188</v>
      </c>
      <c r="F56" t="s">
        <v>2</v>
      </c>
    </row>
    <row r="57" spans="4:6">
      <c r="D57">
        <v>2011</v>
      </c>
      <c r="E57">
        <v>74</v>
      </c>
      <c r="F57" t="s">
        <v>2</v>
      </c>
    </row>
    <row r="58" spans="4:6">
      <c r="D58">
        <v>2012</v>
      </c>
      <c r="E58" t="e">
        <v>#N/A</v>
      </c>
      <c r="F58" t="s">
        <v>3</v>
      </c>
    </row>
    <row r="59" spans="4:6">
      <c r="D59">
        <v>2013</v>
      </c>
      <c r="E59" t="e">
        <v>#N/A</v>
      </c>
      <c r="F59" t="s">
        <v>3</v>
      </c>
    </row>
    <row r="60" spans="4:6">
      <c r="D60">
        <v>2014</v>
      </c>
      <c r="E60">
        <v>35</v>
      </c>
      <c r="F60" t="s">
        <v>2</v>
      </c>
    </row>
    <row r="61" spans="4:6">
      <c r="D61">
        <v>2015</v>
      </c>
      <c r="E61">
        <v>13291</v>
      </c>
      <c r="F61" t="s">
        <v>2</v>
      </c>
    </row>
    <row r="62" spans="4:6">
      <c r="D62">
        <v>2016</v>
      </c>
      <c r="E62">
        <v>5866</v>
      </c>
      <c r="F62" t="s">
        <v>2</v>
      </c>
    </row>
    <row r="63" spans="4:6">
      <c r="D63">
        <v>2017</v>
      </c>
      <c r="E63">
        <v>4288</v>
      </c>
      <c r="F63" t="s">
        <v>2</v>
      </c>
    </row>
    <row r="64" spans="4:6">
      <c r="D64">
        <v>2018</v>
      </c>
      <c r="E64">
        <v>5719</v>
      </c>
      <c r="F64" t="s">
        <v>2</v>
      </c>
    </row>
    <row r="65" spans="4:6">
      <c r="D65">
        <v>2019</v>
      </c>
      <c r="E65">
        <v>5208</v>
      </c>
      <c r="F65" t="s">
        <v>2</v>
      </c>
    </row>
    <row r="66" spans="4:6">
      <c r="D66">
        <v>2020</v>
      </c>
      <c r="E66">
        <v>447</v>
      </c>
      <c r="F66" t="s">
        <v>2</v>
      </c>
    </row>
    <row r="67" spans="4:6">
      <c r="D67">
        <v>2021</v>
      </c>
      <c r="E67">
        <v>38</v>
      </c>
      <c r="F67" t="s">
        <v>2</v>
      </c>
    </row>
    <row r="68" spans="4:6">
      <c r="D68">
        <v>2022</v>
      </c>
      <c r="E68">
        <v>3525</v>
      </c>
      <c r="F68" t="s">
        <v>2</v>
      </c>
    </row>
    <row r="69" spans="4:6">
      <c r="D69">
        <v>2023</v>
      </c>
      <c r="E69">
        <v>8809</v>
      </c>
      <c r="F69" t="s">
        <v>2</v>
      </c>
    </row>
    <row r="70" spans="4:6">
      <c r="D70">
        <v>2024</v>
      </c>
      <c r="E70">
        <v>302</v>
      </c>
      <c r="F70" t="s">
        <v>2</v>
      </c>
    </row>
    <row r="71" spans="4:6">
      <c r="D71">
        <v>2025</v>
      </c>
      <c r="E71" t="e">
        <v>#N/A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topLeftCell="K21" workbookViewId="0">
      <selection activeCell="N38" sqref="N38"/>
    </sheetView>
  </sheetViews>
  <sheetFormatPr defaultColWidth="9.14285714285714" defaultRowHeight="15"/>
  <cols>
    <col min="1" max="1" width="6.42857142857143" customWidth="1"/>
    <col min="2" max="2" width="10.4285714285714" customWidth="1"/>
    <col min="3" max="5" width="10.2857142857143"/>
    <col min="6" max="6" width="13.2857142857143" customWidth="1"/>
    <col min="7" max="7" width="14.1428571428571" customWidth="1"/>
    <col min="8" max="8" width="18.2857142857143" customWidth="1"/>
    <col min="9" max="9" width="15.5714285714286" customWidth="1"/>
    <col min="10" max="10" width="4.85714285714286" customWidth="1"/>
    <col min="11" max="11" width="14.8571428571429" customWidth="1"/>
    <col min="13" max="13" width="20" customWidth="1"/>
    <col min="14" max="15" width="12.8571428571429"/>
    <col min="19" max="19" width="12.8571428571429"/>
  </cols>
  <sheetData>
    <row r="1" spans="1:2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K1" t="s">
        <v>11</v>
      </c>
      <c r="L1" t="s">
        <v>12</v>
      </c>
      <c r="N1" t="s">
        <v>13</v>
      </c>
      <c r="O1" t="s">
        <v>14</v>
      </c>
      <c r="V1" t="s">
        <v>15</v>
      </c>
      <c r="W1" t="s">
        <v>16</v>
      </c>
    </row>
    <row r="2" spans="1:23">
      <c r="A2" s="1">
        <v>1981</v>
      </c>
      <c r="B2">
        <v>685.675</v>
      </c>
      <c r="C2">
        <v>1981</v>
      </c>
      <c r="D2">
        <v>2424</v>
      </c>
      <c r="E2" t="s">
        <v>2</v>
      </c>
      <c r="F2">
        <f>IF(AND(ISNUMBER(D2),ISNUMBER(B2)),D2,"")</f>
        <v>2424</v>
      </c>
      <c r="G2">
        <f>IF(AND(ISNUMBER(D2),ISNUMBER(B2)),B2,"")</f>
        <v>685.675</v>
      </c>
      <c r="H2">
        <f>IF(AND(ISNUMBER(D3),ISNUMBER(B2)),D3,"")</f>
        <v>3498</v>
      </c>
      <c r="I2">
        <f>IF(AND(ISNUMBER(D3),ISNUMBER(B2)),B2,"")</f>
        <v>685.675</v>
      </c>
      <c r="K2">
        <f>IF(ISNUMBER(D2),D2,"")</f>
        <v>2424</v>
      </c>
      <c r="L2" t="str">
        <f>IF(K2="","",IF(K2&gt;$N$9,"Yes","No"))</f>
        <v>No</v>
      </c>
      <c r="M2" t="s">
        <v>17</v>
      </c>
      <c r="N2">
        <f>COUNT(K2:K45)</f>
        <v>37</v>
      </c>
      <c r="V2" t="e">
        <f>IF(L2="Yes",K2,NA())</f>
        <v>#N/A</v>
      </c>
      <c r="W2">
        <f>IF(L2="No",K2,NA())</f>
        <v>2424</v>
      </c>
    </row>
    <row r="3" spans="1:23">
      <c r="A3" s="1">
        <v>1982</v>
      </c>
      <c r="B3">
        <v>718.803</v>
      </c>
      <c r="C3">
        <v>1982</v>
      </c>
      <c r="D3">
        <v>3498</v>
      </c>
      <c r="E3" t="s">
        <v>2</v>
      </c>
      <c r="F3">
        <f t="shared" ref="F3:F8" si="0">IF(AND(ISNUMBER(D3),ISNUMBER(B3)),D3,"")</f>
        <v>3498</v>
      </c>
      <c r="G3">
        <f t="shared" ref="G3:G17" si="1">IF(AND(ISNUMBER(D3),ISNUMBER(B3)),B3,"")</f>
        <v>718.803</v>
      </c>
      <c r="H3">
        <f t="shared" ref="H3:H17" si="2">IF(AND(ISNUMBER(D4),ISNUMBER(B3)),D4,"")</f>
        <v>1049</v>
      </c>
      <c r="I3">
        <f>IF(AND(ISNUMBER(D4),ISNUMBER(B3)),B3,"")</f>
        <v>718.803</v>
      </c>
      <c r="K3">
        <f t="shared" ref="K3:K18" si="3">IF(ISNUMBER(D3),D3,"")</f>
        <v>3498</v>
      </c>
      <c r="L3" t="str">
        <f>IF(K3="","",IF(K3&gt;$N$9,"Yes","No"))</f>
        <v>No</v>
      </c>
      <c r="M3" t="s">
        <v>18</v>
      </c>
      <c r="N3">
        <f>SUM(K2:K45)</f>
        <v>138834</v>
      </c>
      <c r="V3" t="e">
        <f t="shared" ref="V3:V13" si="4">IF(L3="Yes",K3,NA())</f>
        <v>#N/A</v>
      </c>
      <c r="W3">
        <f t="shared" ref="W3:W19" si="5">IF(L3="No",K3,NA())</f>
        <v>3498</v>
      </c>
    </row>
    <row r="4" spans="1:23">
      <c r="A4" s="1">
        <v>1983</v>
      </c>
      <c r="B4">
        <v>478.041</v>
      </c>
      <c r="C4">
        <v>1983</v>
      </c>
      <c r="D4">
        <v>1049</v>
      </c>
      <c r="E4" t="s">
        <v>2</v>
      </c>
      <c r="F4">
        <f t="shared" si="0"/>
        <v>1049</v>
      </c>
      <c r="G4">
        <f t="shared" si="1"/>
        <v>478.041</v>
      </c>
      <c r="H4">
        <f t="shared" si="2"/>
        <v>14</v>
      </c>
      <c r="I4">
        <f>IF(AND(ISNUMBER(D5),ISNUMBER(B4)),B4,"")</f>
        <v>478.041</v>
      </c>
      <c r="K4">
        <f t="shared" si="3"/>
        <v>1049</v>
      </c>
      <c r="L4" t="str">
        <f>IF(K4="","",IF(K4&gt;$N$9,"Yes","No"))</f>
        <v>No</v>
      </c>
      <c r="M4" t="s">
        <v>19</v>
      </c>
      <c r="N4">
        <f>AVERAGE(K2:K45)</f>
        <v>3752.27027027027</v>
      </c>
      <c r="V4" t="e">
        <f t="shared" si="4"/>
        <v>#N/A</v>
      </c>
      <c r="W4">
        <f t="shared" si="5"/>
        <v>1049</v>
      </c>
    </row>
    <row r="5" spans="1:23">
      <c r="A5" s="1">
        <v>1984</v>
      </c>
      <c r="B5">
        <v>479.171</v>
      </c>
      <c r="C5">
        <v>1984</v>
      </c>
      <c r="D5">
        <v>14</v>
      </c>
      <c r="E5" t="s">
        <v>2</v>
      </c>
      <c r="F5">
        <f t="shared" si="0"/>
        <v>14</v>
      </c>
      <c r="G5">
        <f t="shared" si="1"/>
        <v>479.171</v>
      </c>
      <c r="H5">
        <f t="shared" si="2"/>
        <v>1352</v>
      </c>
      <c r="I5">
        <f>IF(AND(ISNUMBER(D6),ISNUMBER(B5)),B5,"")</f>
        <v>479.171</v>
      </c>
      <c r="K5">
        <f t="shared" si="3"/>
        <v>14</v>
      </c>
      <c r="L5" t="str">
        <f>IF(K5="","",IF(K5&gt;$N$9,"Yes","No"))</f>
        <v>No</v>
      </c>
      <c r="M5" t="s">
        <v>20</v>
      </c>
      <c r="N5">
        <f>MEDIAN(K2:K45)</f>
        <v>1206</v>
      </c>
      <c r="V5" t="e">
        <f t="shared" si="4"/>
        <v>#N/A</v>
      </c>
      <c r="W5">
        <f t="shared" si="5"/>
        <v>14</v>
      </c>
    </row>
    <row r="6" spans="1:23">
      <c r="A6" s="1">
        <v>1985</v>
      </c>
      <c r="B6">
        <v>576.04</v>
      </c>
      <c r="C6">
        <v>1985</v>
      </c>
      <c r="D6">
        <v>1352</v>
      </c>
      <c r="E6" t="s">
        <v>2</v>
      </c>
      <c r="F6">
        <f t="shared" si="0"/>
        <v>1352</v>
      </c>
      <c r="G6">
        <f t="shared" si="1"/>
        <v>576.04</v>
      </c>
      <c r="H6">
        <f t="shared" si="2"/>
        <v>839</v>
      </c>
      <c r="I6">
        <f>IF(AND(ISNUMBER(D7),ISNUMBER(B6)),B6,"")</f>
        <v>576.04</v>
      </c>
      <c r="K6">
        <f t="shared" si="3"/>
        <v>1352</v>
      </c>
      <c r="L6" t="str">
        <f>IF(K6="","",IF(K6&gt;$N$9,"Yes","No"))</f>
        <v>No</v>
      </c>
      <c r="M6" t="s">
        <v>21</v>
      </c>
      <c r="N6">
        <f>MAX(K2:K45)</f>
        <v>22432</v>
      </c>
      <c r="V6" t="e">
        <f t="shared" si="4"/>
        <v>#N/A</v>
      </c>
      <c r="W6">
        <f t="shared" si="5"/>
        <v>1352</v>
      </c>
    </row>
    <row r="7" spans="1:23">
      <c r="A7" s="1">
        <v>1986</v>
      </c>
      <c r="B7">
        <v>601.587</v>
      </c>
      <c r="C7">
        <v>1986</v>
      </c>
      <c r="D7">
        <v>839</v>
      </c>
      <c r="E7" t="s">
        <v>2</v>
      </c>
      <c r="F7">
        <f t="shared" si="0"/>
        <v>839</v>
      </c>
      <c r="G7">
        <f t="shared" si="1"/>
        <v>601.587</v>
      </c>
      <c r="H7">
        <f t="shared" si="2"/>
        <v>255</v>
      </c>
      <c r="I7">
        <f>IF(AND(ISNUMBER(D8),ISNUMBER(B7)),B7,"")</f>
        <v>601.587</v>
      </c>
      <c r="K7">
        <f t="shared" si="3"/>
        <v>839</v>
      </c>
      <c r="L7" t="str">
        <f>IF(K7="","",IF(K7&gt;$N$9,"Yes","No"))</f>
        <v>No</v>
      </c>
      <c r="M7" t="s">
        <v>22</v>
      </c>
      <c r="N7" cm="1">
        <f t="array" ref="N7">INDEX(C2:C45,MATCH(MAX(K2:K45),K2:K45,0))</f>
        <v>1998</v>
      </c>
      <c r="V7" t="e">
        <f t="shared" si="4"/>
        <v>#N/A</v>
      </c>
      <c r="W7">
        <f t="shared" si="5"/>
        <v>839</v>
      </c>
    </row>
    <row r="8" spans="1:23">
      <c r="A8" s="1">
        <v>1987</v>
      </c>
      <c r="B8">
        <v>497.057</v>
      </c>
      <c r="C8">
        <v>1987</v>
      </c>
      <c r="D8">
        <v>255</v>
      </c>
      <c r="E8" t="s">
        <v>2</v>
      </c>
      <c r="F8">
        <f t="shared" si="0"/>
        <v>255</v>
      </c>
      <c r="G8">
        <f t="shared" si="1"/>
        <v>497.057</v>
      </c>
      <c r="H8" t="str">
        <f t="shared" si="2"/>
        <v/>
      </c>
      <c r="I8" t="str">
        <f>IF(AND(ISNUMBER(D9),ISNUMBER(B8)),B8,"")</f>
        <v/>
      </c>
      <c r="K8">
        <f t="shared" si="3"/>
        <v>255</v>
      </c>
      <c r="L8" t="str">
        <f>IF(K8="","",IF(K8&gt;$N$9,"Yes","No"))</f>
        <v>No</v>
      </c>
      <c r="M8" t="s">
        <v>23</v>
      </c>
      <c r="N8">
        <f>MIN(K2:K45)</f>
        <v>14</v>
      </c>
      <c r="V8" t="e">
        <f t="shared" si="4"/>
        <v>#N/A</v>
      </c>
      <c r="W8">
        <f t="shared" si="5"/>
        <v>255</v>
      </c>
    </row>
    <row r="9" spans="1:23">
      <c r="A9" s="1">
        <v>1988</v>
      </c>
      <c r="B9">
        <v>670.155</v>
      </c>
      <c r="C9">
        <v>1988</v>
      </c>
      <c r="D9" t="e">
        <v>#N/A</v>
      </c>
      <c r="E9" t="s">
        <v>3</v>
      </c>
      <c r="F9" t="str">
        <f t="shared" ref="F9:F26" si="6">IF(AND(ISNUMBER(D9),ISNUMBER(B9)),D9,"")</f>
        <v/>
      </c>
      <c r="G9" t="str">
        <f t="shared" si="1"/>
        <v/>
      </c>
      <c r="H9">
        <f t="shared" si="2"/>
        <v>918</v>
      </c>
      <c r="I9">
        <f>IF(AND(ISNUMBER(D10),ISNUMBER(B9)),B9,"")</f>
        <v>670.155</v>
      </c>
      <c r="K9" t="str">
        <f t="shared" si="3"/>
        <v/>
      </c>
      <c r="L9" t="str">
        <f t="shared" ref="L9:L19" si="7">IF(K9="","",IF(K9&gt;$N$9,"Yes","No"))</f>
        <v/>
      </c>
      <c r="M9" t="s">
        <v>24</v>
      </c>
      <c r="N9">
        <f>QUARTILE(K2:K45,3)</f>
        <v>4288</v>
      </c>
      <c r="V9" t="e">
        <f t="shared" si="4"/>
        <v>#N/A</v>
      </c>
      <c r="W9" t="e">
        <f t="shared" si="5"/>
        <v>#N/A</v>
      </c>
    </row>
    <row r="10" spans="1:23">
      <c r="A10" s="1">
        <v>1989</v>
      </c>
      <c r="B10">
        <v>657.173</v>
      </c>
      <c r="C10">
        <v>1989</v>
      </c>
      <c r="D10">
        <v>918</v>
      </c>
      <c r="E10" t="s">
        <v>2</v>
      </c>
      <c r="F10">
        <f t="shared" si="6"/>
        <v>918</v>
      </c>
      <c r="G10">
        <f t="shared" si="1"/>
        <v>657.173</v>
      </c>
      <c r="H10" t="str">
        <f t="shared" si="2"/>
        <v/>
      </c>
      <c r="I10" t="str">
        <f>IF(AND(ISNUMBER(D11),ISNUMBER(B10)),B10,"")</f>
        <v/>
      </c>
      <c r="K10">
        <f t="shared" si="3"/>
        <v>918</v>
      </c>
      <c r="L10" t="str">
        <f t="shared" si="7"/>
        <v>No</v>
      </c>
      <c r="M10" t="s">
        <v>25</v>
      </c>
      <c r="N10">
        <v>9</v>
      </c>
      <c r="O10"/>
      <c r="V10" t="e">
        <f t="shared" si="4"/>
        <v>#N/A</v>
      </c>
      <c r="W10">
        <f t="shared" si="5"/>
        <v>918</v>
      </c>
    </row>
    <row r="11" spans="1:23">
      <c r="A11" s="1">
        <v>1990</v>
      </c>
      <c r="B11">
        <v>694.769</v>
      </c>
      <c r="C11">
        <v>1990</v>
      </c>
      <c r="D11" t="e">
        <v>#N/A</v>
      </c>
      <c r="E11" t="s">
        <v>3</v>
      </c>
      <c r="F11" t="str">
        <f t="shared" si="6"/>
        <v/>
      </c>
      <c r="G11" t="str">
        <f t="shared" si="1"/>
        <v/>
      </c>
      <c r="H11" t="str">
        <f t="shared" si="2"/>
        <v/>
      </c>
      <c r="I11" t="str">
        <f t="shared" ref="I11:I20" si="8">IF(AND(ISNUMBER(D12),ISNUMBER(B11)),B11,"")</f>
        <v/>
      </c>
      <c r="K11" t="str">
        <f t="shared" si="3"/>
        <v/>
      </c>
      <c r="L11" t="str">
        <f t="shared" si="7"/>
        <v/>
      </c>
      <c r="V11" t="e">
        <f t="shared" si="4"/>
        <v>#N/A</v>
      </c>
      <c r="W11" t="e">
        <f t="shared" si="5"/>
        <v>#N/A</v>
      </c>
    </row>
    <row r="12" spans="1:23">
      <c r="A12" s="1">
        <v>1991</v>
      </c>
      <c r="B12">
        <v>537.924</v>
      </c>
      <c r="C12">
        <v>1991</v>
      </c>
      <c r="D12" t="e">
        <v>#N/A</v>
      </c>
      <c r="E12" t="s">
        <v>3</v>
      </c>
      <c r="F12" t="str">
        <f t="shared" si="6"/>
        <v/>
      </c>
      <c r="G12" t="str">
        <f t="shared" si="1"/>
        <v/>
      </c>
      <c r="H12">
        <f t="shared" si="2"/>
        <v>3388</v>
      </c>
      <c r="I12">
        <f t="shared" si="8"/>
        <v>537.924</v>
      </c>
      <c r="K12" t="str">
        <f t="shared" si="3"/>
        <v/>
      </c>
      <c r="L12" t="str">
        <f t="shared" si="7"/>
        <v/>
      </c>
      <c r="V12" t="e">
        <f t="shared" si="4"/>
        <v>#N/A</v>
      </c>
      <c r="W12" t="e">
        <f t="shared" si="5"/>
        <v>#N/A</v>
      </c>
    </row>
    <row r="13" spans="1:23">
      <c r="A13" s="1">
        <v>1992</v>
      </c>
      <c r="B13">
        <v>562.841</v>
      </c>
      <c r="C13">
        <v>1992</v>
      </c>
      <c r="D13">
        <v>3388</v>
      </c>
      <c r="E13" t="s">
        <v>2</v>
      </c>
      <c r="F13">
        <f t="shared" si="6"/>
        <v>3388</v>
      </c>
      <c r="G13">
        <f t="shared" si="1"/>
        <v>562.841</v>
      </c>
      <c r="H13" t="str">
        <f t="shared" si="2"/>
        <v/>
      </c>
      <c r="I13" t="str">
        <f t="shared" si="8"/>
        <v/>
      </c>
      <c r="K13">
        <f t="shared" si="3"/>
        <v>3388</v>
      </c>
      <c r="L13" t="str">
        <f t="shared" si="7"/>
        <v>No</v>
      </c>
      <c r="N13">
        <f>SUMIFS(K2:K45,C2:C45,"&gt;=1990",C2:C45,"&lt;=1999")</f>
        <v>56968</v>
      </c>
      <c r="V13" t="e">
        <f t="shared" si="4"/>
        <v>#N/A</v>
      </c>
      <c r="W13">
        <f t="shared" si="5"/>
        <v>3388</v>
      </c>
    </row>
    <row r="14" spans="1:23">
      <c r="A14" s="1">
        <v>1993</v>
      </c>
      <c r="B14">
        <v>499.866</v>
      </c>
      <c r="C14">
        <v>1993</v>
      </c>
      <c r="D14" t="e">
        <v>#N/A</v>
      </c>
      <c r="E14" t="s">
        <v>3</v>
      </c>
      <c r="F14" t="str">
        <f t="shared" si="6"/>
        <v/>
      </c>
      <c r="G14" t="str">
        <f t="shared" si="1"/>
        <v/>
      </c>
      <c r="H14">
        <f t="shared" si="2"/>
        <v>880</v>
      </c>
      <c r="I14">
        <f t="shared" si="8"/>
        <v>499.866</v>
      </c>
      <c r="K14" t="str">
        <f t="shared" si="3"/>
        <v/>
      </c>
      <c r="L14" t="str">
        <f t="shared" si="7"/>
        <v/>
      </c>
      <c r="N14" cm="1">
        <f t="array" ref="N14">SUM(LARGE(K2:K45,{1,2,3,4,5}))/N3</f>
        <v>0.543000993992826</v>
      </c>
      <c r="V14" t="e">
        <f t="shared" ref="V14:V22" si="9">IF(L14="Yes",K14,NA())</f>
        <v>#N/A</v>
      </c>
      <c r="W14" t="e">
        <f t="shared" si="5"/>
        <v>#N/A</v>
      </c>
    </row>
    <row r="15" spans="1:23">
      <c r="A15" s="1">
        <v>1994</v>
      </c>
      <c r="B15">
        <v>644.379</v>
      </c>
      <c r="C15">
        <v>1994</v>
      </c>
      <c r="D15">
        <v>880</v>
      </c>
      <c r="E15" t="s">
        <v>2</v>
      </c>
      <c r="F15">
        <f t="shared" si="6"/>
        <v>880</v>
      </c>
      <c r="G15">
        <f t="shared" si="1"/>
        <v>644.379</v>
      </c>
      <c r="H15">
        <f t="shared" si="2"/>
        <v>1547</v>
      </c>
      <c r="I15">
        <f t="shared" si="8"/>
        <v>644.379</v>
      </c>
      <c r="K15">
        <f t="shared" si="3"/>
        <v>880</v>
      </c>
      <c r="L15" t="str">
        <f t="shared" si="7"/>
        <v>No</v>
      </c>
      <c r="V15" t="e">
        <f t="shared" si="9"/>
        <v>#N/A</v>
      </c>
      <c r="W15">
        <f t="shared" si="5"/>
        <v>880</v>
      </c>
    </row>
    <row r="16" ht="30" spans="1:23">
      <c r="A16" s="1">
        <v>1995</v>
      </c>
      <c r="B16">
        <v>574.623</v>
      </c>
      <c r="C16">
        <v>1995</v>
      </c>
      <c r="D16">
        <v>1547</v>
      </c>
      <c r="E16" t="s">
        <v>2</v>
      </c>
      <c r="F16">
        <f t="shared" si="6"/>
        <v>1547</v>
      </c>
      <c r="G16">
        <f t="shared" si="1"/>
        <v>574.623</v>
      </c>
      <c r="H16">
        <f t="shared" si="2"/>
        <v>482</v>
      </c>
      <c r="I16">
        <f t="shared" si="8"/>
        <v>574.623</v>
      </c>
      <c r="K16">
        <f t="shared" si="3"/>
        <v>1547</v>
      </c>
      <c r="L16" t="str">
        <f t="shared" si="7"/>
        <v>No</v>
      </c>
      <c r="N16" s="2" t="s">
        <v>26</v>
      </c>
      <c r="O16" s="2" t="s">
        <v>27</v>
      </c>
      <c r="P16" s="2" t="s">
        <v>28</v>
      </c>
      <c r="Q16" s="2" t="s">
        <v>18</v>
      </c>
      <c r="R16" s="2" t="s">
        <v>29</v>
      </c>
      <c r="S16" s="2" t="s">
        <v>30</v>
      </c>
      <c r="T16" s="2" t="s">
        <v>25</v>
      </c>
      <c r="V16" t="e">
        <f t="shared" si="9"/>
        <v>#N/A</v>
      </c>
      <c r="W16">
        <f t="shared" si="5"/>
        <v>1547</v>
      </c>
    </row>
    <row r="17" spans="1:23">
      <c r="A17" s="1">
        <v>1996</v>
      </c>
      <c r="B17">
        <v>510.092</v>
      </c>
      <c r="C17">
        <v>1996</v>
      </c>
      <c r="D17">
        <v>482</v>
      </c>
      <c r="E17" t="s">
        <v>2</v>
      </c>
      <c r="F17">
        <f t="shared" si="6"/>
        <v>482</v>
      </c>
      <c r="G17">
        <f t="shared" si="1"/>
        <v>510.092</v>
      </c>
      <c r="H17">
        <f t="shared" si="2"/>
        <v>17200</v>
      </c>
      <c r="I17">
        <f t="shared" si="8"/>
        <v>510.092</v>
      </c>
      <c r="K17">
        <f t="shared" si="3"/>
        <v>482</v>
      </c>
      <c r="L17" t="str">
        <f t="shared" si="7"/>
        <v>No</v>
      </c>
      <c r="N17" t="s">
        <v>31</v>
      </c>
      <c r="O17">
        <v>1981</v>
      </c>
      <c r="P17">
        <v>1989</v>
      </c>
      <c r="Q17">
        <f>SUMIFS($K$2:$K$60,$C$2:$C$60,"&gt;="&amp;O17,$C$2:$C$60,"&lt;="&amp;P17)</f>
        <v>10349</v>
      </c>
      <c r="R17">
        <f>COUNTIFS($C$2:$C$60,"&gt;="&amp;O17,$C$2:$C$60,"&lt;="&amp;P17,$K$2:$K$60,"&gt;=0")</f>
        <v>8</v>
      </c>
      <c r="S17">
        <f>IF(R17=0,"",Q17/R17)</f>
        <v>1293.625</v>
      </c>
      <c r="T17">
        <f>COUNTIFS($C$2:$C$60,"&gt;="&amp;O17,$C$2:$C$60,"&lt;="&amp;P17,$L$2:$L$60,"Yes")</f>
        <v>0</v>
      </c>
      <c r="V17" t="e">
        <f t="shared" si="9"/>
        <v>#N/A</v>
      </c>
      <c r="W17">
        <f t="shared" si="5"/>
        <v>482</v>
      </c>
    </row>
    <row r="18" spans="1:23">
      <c r="A18" s="1">
        <v>1997</v>
      </c>
      <c r="B18">
        <v>970.649</v>
      </c>
      <c r="C18">
        <v>1997</v>
      </c>
      <c r="D18">
        <v>17200</v>
      </c>
      <c r="E18" t="s">
        <v>2</v>
      </c>
      <c r="F18">
        <f t="shared" si="6"/>
        <v>17200</v>
      </c>
      <c r="G18">
        <f>IF(AND(ISNUMBER(D18),ISNUMBER(B18)),B18,"")</f>
        <v>970.649</v>
      </c>
      <c r="H18">
        <f t="shared" ref="H18:H27" si="10">IF(AND(ISNUMBER(D19),ISNUMBER(B18)),D19,"")</f>
        <v>22432</v>
      </c>
      <c r="I18">
        <f t="shared" si="8"/>
        <v>970.649</v>
      </c>
      <c r="K18">
        <f t="shared" si="3"/>
        <v>17200</v>
      </c>
      <c r="L18" t="str">
        <f t="shared" si="7"/>
        <v>Yes</v>
      </c>
      <c r="N18" t="s">
        <v>32</v>
      </c>
      <c r="O18">
        <v>1990</v>
      </c>
      <c r="P18">
        <v>1999</v>
      </c>
      <c r="Q18">
        <f>SUMIFS($K$2:$K$60,$C$2:$C$60,"&gt;="&amp;O18,$C$2:$C$60,"&lt;="&amp;P18)</f>
        <v>56968</v>
      </c>
      <c r="R18">
        <f>COUNTIFS($C$2:$C$60,"&gt;="&amp;O18,$C$2:$C$60,"&lt;="&amp;P18,$K$2:$K$60,"&gt;=0")</f>
        <v>7</v>
      </c>
      <c r="S18">
        <f>IF(R18=0,"",Q18/R18)</f>
        <v>8138.28571428571</v>
      </c>
      <c r="T18">
        <f>COUNTIFS($C$2:$C$60,"&gt;="&amp;O18,$C$2:$C$60,"&lt;="&amp;P18,$L$2:$L$60,"Yes")</f>
        <v>3</v>
      </c>
      <c r="V18">
        <f t="shared" si="9"/>
        <v>17200</v>
      </c>
      <c r="W18" t="e">
        <f t="shared" si="5"/>
        <v>#N/A</v>
      </c>
    </row>
    <row r="19" spans="1:23">
      <c r="A19" s="1">
        <v>1998</v>
      </c>
      <c r="B19">
        <v>607.315</v>
      </c>
      <c r="C19">
        <v>1998</v>
      </c>
      <c r="D19">
        <v>22432</v>
      </c>
      <c r="E19" t="s">
        <v>2</v>
      </c>
      <c r="F19">
        <f t="shared" si="6"/>
        <v>22432</v>
      </c>
      <c r="G19">
        <f>IF(AND(ISNUMBER(D19),ISNUMBER(B19)),B19,"")</f>
        <v>607.315</v>
      </c>
      <c r="H19">
        <f t="shared" si="10"/>
        <v>11039</v>
      </c>
      <c r="I19">
        <f t="shared" si="8"/>
        <v>607.315</v>
      </c>
      <c r="K19">
        <f t="shared" ref="K19:K24" si="11">IF(ISNUMBER(D19),D19,"")</f>
        <v>22432</v>
      </c>
      <c r="L19" t="str">
        <f t="shared" si="7"/>
        <v>Yes</v>
      </c>
      <c r="N19" t="s">
        <v>33</v>
      </c>
      <c r="O19">
        <v>2000</v>
      </c>
      <c r="P19">
        <v>2009</v>
      </c>
      <c r="Q19">
        <f>SUMIFS($K$2:$K$60,$C$2:$C$60,"&gt;="&amp;O19,$C$2:$C$60,"&lt;="&amp;P19)</f>
        <v>20727</v>
      </c>
      <c r="R19">
        <f>COUNTIFS($C$2:$C$60,"&gt;="&amp;O19,$C$2:$C$60,"&lt;="&amp;P19,$K$2:$K$60,"&gt;=0")</f>
        <v>9</v>
      </c>
      <c r="S19">
        <f>IF(R19=0,"",Q19/R19)</f>
        <v>2303</v>
      </c>
      <c r="T19">
        <f>COUNTIFS($C$2:$C$60,"&gt;="&amp;O19,$C$2:$C$60,"&lt;="&amp;P19,$L$2:$L$60,"Yes")</f>
        <v>1</v>
      </c>
      <c r="V19">
        <f t="shared" si="9"/>
        <v>22432</v>
      </c>
      <c r="W19" t="e">
        <f t="shared" si="5"/>
        <v>#N/A</v>
      </c>
    </row>
    <row r="20" spans="1:23">
      <c r="A20" s="1">
        <v>1999</v>
      </c>
      <c r="B20">
        <v>529.073</v>
      </c>
      <c r="C20">
        <v>1999</v>
      </c>
      <c r="D20">
        <v>11039</v>
      </c>
      <c r="E20" t="s">
        <v>2</v>
      </c>
      <c r="F20">
        <f t="shared" si="6"/>
        <v>11039</v>
      </c>
      <c r="G20">
        <f>IF(AND(ISNUMBER(D20),ISNUMBER(B20)),B20,"")</f>
        <v>529.073</v>
      </c>
      <c r="H20">
        <f t="shared" si="10"/>
        <v>1157</v>
      </c>
      <c r="I20">
        <f t="shared" si="8"/>
        <v>529.073</v>
      </c>
      <c r="K20">
        <f t="shared" si="11"/>
        <v>11039</v>
      </c>
      <c r="L20" t="str">
        <f t="shared" ref="L20:L32" si="12">IF(K20="","",IF(K20&gt;$N$9,"Yes","No"))</f>
        <v>Yes</v>
      </c>
      <c r="N20" t="s">
        <v>34</v>
      </c>
      <c r="O20">
        <v>2010</v>
      </c>
      <c r="P20">
        <v>2019</v>
      </c>
      <c r="Q20">
        <f>SUMIFS($K$2:$K$60,$C$2:$C$60,"&gt;="&amp;O20,$C$2:$C$60,"&lt;="&amp;P20)</f>
        <v>37669</v>
      </c>
      <c r="R20">
        <f>COUNTIFS($C$2:$C$60,"&gt;="&amp;O20,$C$2:$C$60,"&lt;="&amp;P20,$K$2:$K$60,"&gt;=0")</f>
        <v>8</v>
      </c>
      <c r="S20">
        <f>IF(R20=0,"",Q20/R20)</f>
        <v>4708.625</v>
      </c>
      <c r="T20">
        <f>COUNTIFS($C$2:$C$60,"&gt;="&amp;O20,$C$2:$C$60,"&lt;="&amp;P20,$L$2:$L$60,"Yes")</f>
        <v>4</v>
      </c>
      <c r="V20">
        <f t="shared" si="9"/>
        <v>11039</v>
      </c>
      <c r="W20" t="e">
        <f>IF(L20="No",K20,NA())</f>
        <v>#N/A</v>
      </c>
    </row>
    <row r="21" spans="1:23">
      <c r="A21" s="1">
        <v>2000</v>
      </c>
      <c r="B21">
        <v>429.401</v>
      </c>
      <c r="C21">
        <v>2000</v>
      </c>
      <c r="D21">
        <v>1157</v>
      </c>
      <c r="E21" t="s">
        <v>2</v>
      </c>
      <c r="F21">
        <f t="shared" si="6"/>
        <v>1157</v>
      </c>
      <c r="G21">
        <f>IF(AND(ISNUMBER(D21),ISNUMBER(B21)),B21,"")</f>
        <v>429.401</v>
      </c>
      <c r="H21">
        <f t="shared" si="10"/>
        <v>1001</v>
      </c>
      <c r="I21">
        <f t="shared" ref="I21:I29" si="13">IF(AND(ISNUMBER(D22),ISNUMBER(B21)),B21,"")</f>
        <v>429.401</v>
      </c>
      <c r="K21">
        <f t="shared" si="11"/>
        <v>1157</v>
      </c>
      <c r="L21" t="str">
        <f t="shared" si="12"/>
        <v>No</v>
      </c>
      <c r="N21" t="s">
        <v>35</v>
      </c>
      <c r="O21">
        <v>2020</v>
      </c>
      <c r="P21">
        <v>2024</v>
      </c>
      <c r="Q21">
        <f>SUMIFS($K$2:$K$60,$C$2:$C$60,"&gt;="&amp;O21,$C$2:$C$60,"&lt;="&amp;P21)</f>
        <v>13121</v>
      </c>
      <c r="R21">
        <f>COUNTIFS($C$2:$C$60,"&gt;="&amp;O21,$C$2:$C$60,"&lt;="&amp;P21,$K$2:$K$60,"&gt;=0")</f>
        <v>5</v>
      </c>
      <c r="S21">
        <f>IF(R21=0,"",Q21/R21)</f>
        <v>2624.2</v>
      </c>
      <c r="T21">
        <f>COUNTIFS($C$2:$C$60,"&gt;="&amp;O21,$C$2:$C$60,"&lt;="&amp;P21,$L$2:$L$60,"Yes")</f>
        <v>1</v>
      </c>
      <c r="V21" t="e">
        <f t="shared" si="9"/>
        <v>#N/A</v>
      </c>
      <c r="W21">
        <f>IF(L21="No",K21,NA())</f>
        <v>1157</v>
      </c>
    </row>
    <row r="22" spans="1:23">
      <c r="A22" s="1">
        <v>2001</v>
      </c>
      <c r="B22">
        <v>571.85</v>
      </c>
      <c r="C22">
        <v>2001</v>
      </c>
      <c r="D22">
        <v>1001</v>
      </c>
      <c r="E22" t="s">
        <v>2</v>
      </c>
      <c r="F22">
        <f t="shared" si="6"/>
        <v>1001</v>
      </c>
      <c r="G22">
        <f>IF(AND(ISNUMBER(D22),ISNUMBER(B22)),B22,"")</f>
        <v>571.85</v>
      </c>
      <c r="H22">
        <f t="shared" si="10"/>
        <v>291</v>
      </c>
      <c r="I22">
        <f t="shared" si="13"/>
        <v>571.85</v>
      </c>
      <c r="K22">
        <f t="shared" si="11"/>
        <v>1001</v>
      </c>
      <c r="L22" t="str">
        <f t="shared" si="12"/>
        <v>No</v>
      </c>
      <c r="V22" t="e">
        <f t="shared" si="9"/>
        <v>#N/A</v>
      </c>
      <c r="W22">
        <f>IF(L22="No",K22,NA())</f>
        <v>1001</v>
      </c>
    </row>
    <row r="23" spans="1:23">
      <c r="A23" s="1">
        <v>2002</v>
      </c>
      <c r="B23">
        <v>678.49</v>
      </c>
      <c r="C23">
        <v>2002</v>
      </c>
      <c r="D23">
        <v>291</v>
      </c>
      <c r="E23" t="s">
        <v>2</v>
      </c>
      <c r="F23">
        <f t="shared" si="6"/>
        <v>291</v>
      </c>
      <c r="G23">
        <f>IF(AND(ISNUMBER(D23),ISNUMBER(B23)),B23,"")</f>
        <v>678.49</v>
      </c>
      <c r="H23" t="str">
        <f t="shared" si="10"/>
        <v/>
      </c>
      <c r="I23" t="str">
        <f t="shared" si="13"/>
        <v/>
      </c>
      <c r="K23">
        <f t="shared" si="11"/>
        <v>291</v>
      </c>
      <c r="L23" t="str">
        <f t="shared" si="12"/>
        <v>No</v>
      </c>
      <c r="V23" t="e">
        <f t="shared" ref="V23:V35" si="14">IF(L23="Yes",K23,NA())</f>
        <v>#N/A</v>
      </c>
      <c r="W23">
        <f>IF(L23="No",K23,NA())</f>
        <v>291</v>
      </c>
    </row>
    <row r="24" spans="1:23">
      <c r="A24" s="1">
        <v>2003</v>
      </c>
      <c r="B24">
        <v>598.184</v>
      </c>
      <c r="C24">
        <v>2003</v>
      </c>
      <c r="D24" t="e">
        <v>#N/A</v>
      </c>
      <c r="E24" t="s">
        <v>3</v>
      </c>
      <c r="F24" t="str">
        <f t="shared" si="6"/>
        <v/>
      </c>
      <c r="G24" t="str">
        <f>IF(AND(ISNUMBER(D24),ISNUMBER(B24)),B24,"")</f>
        <v/>
      </c>
      <c r="H24">
        <f t="shared" si="10"/>
        <v>870</v>
      </c>
      <c r="I24">
        <f t="shared" si="13"/>
        <v>598.184</v>
      </c>
      <c r="K24" t="str">
        <f>IF(ISNUMBER(D24),D24,"")</f>
        <v/>
      </c>
      <c r="L24" t="str">
        <f t="shared" si="12"/>
        <v/>
      </c>
      <c r="N24" t="s">
        <v>26</v>
      </c>
      <c r="O24" t="s">
        <v>30</v>
      </c>
      <c r="V24" t="e">
        <f t="shared" si="14"/>
        <v>#N/A</v>
      </c>
      <c r="W24" t="e">
        <f>IF(L24="No",K24,NA())</f>
        <v>#N/A</v>
      </c>
    </row>
    <row r="25" spans="1:23">
      <c r="A25" s="1">
        <v>2004</v>
      </c>
      <c r="B25">
        <v>580.998</v>
      </c>
      <c r="C25">
        <v>2004</v>
      </c>
      <c r="D25">
        <v>870</v>
      </c>
      <c r="E25" t="s">
        <v>2</v>
      </c>
      <c r="F25">
        <f t="shared" si="6"/>
        <v>870</v>
      </c>
      <c r="G25">
        <f>IF(AND(ISNUMBER(D25),ISNUMBER(B25)),B25,"")</f>
        <v>580.998</v>
      </c>
      <c r="H25">
        <f t="shared" si="10"/>
        <v>816</v>
      </c>
      <c r="I25">
        <f t="shared" si="13"/>
        <v>580.998</v>
      </c>
      <c r="K25">
        <f>IF(ISNUMBER(D25),D25,"")</f>
        <v>870</v>
      </c>
      <c r="L25" t="str">
        <f t="shared" si="12"/>
        <v>No</v>
      </c>
      <c r="N25" t="str">
        <f>N17</f>
        <v>1981-89</v>
      </c>
      <c r="O25">
        <f>S17</f>
        <v>1293.625</v>
      </c>
      <c r="V25" t="e">
        <f t="shared" si="14"/>
        <v>#N/A</v>
      </c>
      <c r="W25">
        <f>IF(L25="No",K25,NA())</f>
        <v>870</v>
      </c>
    </row>
    <row r="26" spans="1:23">
      <c r="A26" s="1">
        <v>2005</v>
      </c>
      <c r="B26">
        <v>450.523</v>
      </c>
      <c r="C26">
        <v>2005</v>
      </c>
      <c r="D26">
        <v>816</v>
      </c>
      <c r="E26" t="s">
        <v>2</v>
      </c>
      <c r="F26">
        <f t="shared" si="6"/>
        <v>816</v>
      </c>
      <c r="G26">
        <f>IF(AND(ISNUMBER(D26),ISNUMBER(B26)),B26,"")</f>
        <v>450.523</v>
      </c>
      <c r="H26">
        <f t="shared" si="10"/>
        <v>870</v>
      </c>
      <c r="I26">
        <f t="shared" si="13"/>
        <v>450.523</v>
      </c>
      <c r="K26">
        <f>IF(ISNUMBER(D26),D26,"")</f>
        <v>816</v>
      </c>
      <c r="L26" t="str">
        <f t="shared" si="12"/>
        <v>No</v>
      </c>
      <c r="N26" t="str">
        <f>N18</f>
        <v>1990-99</v>
      </c>
      <c r="O26">
        <f>S18</f>
        <v>8138.28571428571</v>
      </c>
      <c r="V26" t="e">
        <f t="shared" si="14"/>
        <v>#N/A</v>
      </c>
      <c r="W26">
        <f t="shared" ref="W26:W40" si="15">IF(L26="No",K26,NA())</f>
        <v>816</v>
      </c>
    </row>
    <row r="27" spans="1:23">
      <c r="A27" s="1">
        <v>2006</v>
      </c>
      <c r="B27">
        <v>809.7</v>
      </c>
      <c r="C27">
        <v>2006</v>
      </c>
      <c r="D27">
        <v>870</v>
      </c>
      <c r="E27" t="s">
        <v>2</v>
      </c>
      <c r="F27">
        <f t="shared" ref="F27:F44" si="16">IF(AND(ISNUMBER(D27),ISNUMBER(B27)),D27,"")</f>
        <v>870</v>
      </c>
      <c r="G27">
        <f>IF(AND(ISNUMBER(D27),ISNUMBER(B27)),B27,"")</f>
        <v>809.7</v>
      </c>
      <c r="H27">
        <f t="shared" si="10"/>
        <v>1206</v>
      </c>
      <c r="I27">
        <f t="shared" si="13"/>
        <v>809.7</v>
      </c>
      <c r="K27">
        <f>IF(ISNUMBER(D27),D27,"")</f>
        <v>870</v>
      </c>
      <c r="L27" t="str">
        <f t="shared" si="12"/>
        <v>No</v>
      </c>
      <c r="N27" t="str">
        <f>N19</f>
        <v>2000-09</v>
      </c>
      <c r="O27">
        <f>S19</f>
        <v>2303</v>
      </c>
      <c r="V27" t="e">
        <f t="shared" si="14"/>
        <v>#N/A</v>
      </c>
      <c r="W27">
        <f t="shared" si="15"/>
        <v>870</v>
      </c>
    </row>
    <row r="28" spans="1:23">
      <c r="A28" s="1">
        <v>2007</v>
      </c>
      <c r="B28">
        <v>588.344</v>
      </c>
      <c r="C28">
        <v>2007</v>
      </c>
      <c r="D28">
        <v>1206</v>
      </c>
      <c r="E28" t="s">
        <v>2</v>
      </c>
      <c r="F28">
        <f t="shared" si="16"/>
        <v>1206</v>
      </c>
      <c r="G28">
        <f t="shared" ref="G28:G41" si="17">IF(AND(ISNUMBER(D28),ISNUMBER(B28)),B28,"")</f>
        <v>588.344</v>
      </c>
      <c r="H28">
        <f>IF(AND(ISNUMBER(D29),ISNUMBER(B28)),D29,"")</f>
        <v>3091</v>
      </c>
      <c r="I28">
        <f t="shared" si="13"/>
        <v>588.344</v>
      </c>
      <c r="K28">
        <f>IF(ISNUMBER(D28),D28,"")</f>
        <v>1206</v>
      </c>
      <c r="L28" t="str">
        <f t="shared" si="12"/>
        <v>No</v>
      </c>
      <c r="N28" t="str">
        <f>N20</f>
        <v>2010-19</v>
      </c>
      <c r="O28">
        <f>S20</f>
        <v>4708.625</v>
      </c>
      <c r="V28" t="e">
        <f t="shared" si="14"/>
        <v>#N/A</v>
      </c>
      <c r="W28">
        <f t="shared" si="15"/>
        <v>1206</v>
      </c>
    </row>
    <row r="29" spans="1:23">
      <c r="A29" s="1">
        <v>2008</v>
      </c>
      <c r="B29">
        <v>523.011</v>
      </c>
      <c r="C29">
        <v>2008</v>
      </c>
      <c r="D29">
        <v>3091</v>
      </c>
      <c r="E29" t="s">
        <v>2</v>
      </c>
      <c r="F29">
        <f t="shared" si="16"/>
        <v>3091</v>
      </c>
      <c r="G29">
        <f t="shared" si="17"/>
        <v>523.011</v>
      </c>
      <c r="H29">
        <f>IF(AND(ISNUMBER(D30),ISNUMBER(B29)),D30,"")</f>
        <v>11425</v>
      </c>
      <c r="I29">
        <f t="shared" si="13"/>
        <v>523.011</v>
      </c>
      <c r="K29">
        <f>IF(ISNUMBER(D29),D29,"")</f>
        <v>3091</v>
      </c>
      <c r="L29" t="str">
        <f t="shared" si="12"/>
        <v>No</v>
      </c>
      <c r="N29" t="str">
        <f>N21</f>
        <v>2020-24</v>
      </c>
      <c r="O29">
        <f>S21</f>
        <v>2624.2</v>
      </c>
      <c r="V29" t="e">
        <f t="shared" si="14"/>
        <v>#N/A</v>
      </c>
      <c r="W29">
        <f t="shared" si="15"/>
        <v>3091</v>
      </c>
    </row>
    <row r="30" spans="1:23">
      <c r="A30" s="1">
        <v>2009</v>
      </c>
      <c r="B30">
        <v>499.435</v>
      </c>
      <c r="C30">
        <v>2009</v>
      </c>
      <c r="D30">
        <v>11425</v>
      </c>
      <c r="E30" t="s">
        <v>2</v>
      </c>
      <c r="F30">
        <f t="shared" si="16"/>
        <v>11425</v>
      </c>
      <c r="G30">
        <f t="shared" si="17"/>
        <v>499.435</v>
      </c>
      <c r="H30">
        <f>IF(AND(ISNUMBER(D31),ISNUMBER(B30)),D31,"")</f>
        <v>3188</v>
      </c>
      <c r="I30">
        <f t="shared" ref="I30:I37" si="18">IF(AND(ISNUMBER(D31),ISNUMBER(B30)),B30,"")</f>
        <v>499.435</v>
      </c>
      <c r="K30">
        <f>IF(ISNUMBER(D30),D30,"")</f>
        <v>11425</v>
      </c>
      <c r="L30" t="str">
        <f t="shared" si="12"/>
        <v>Yes</v>
      </c>
      <c r="V30">
        <f t="shared" si="14"/>
        <v>11425</v>
      </c>
      <c r="W30" t="e">
        <f t="shared" si="15"/>
        <v>#N/A</v>
      </c>
    </row>
    <row r="31" spans="1:23">
      <c r="A31" s="1">
        <v>2010</v>
      </c>
      <c r="B31">
        <v>621.004</v>
      </c>
      <c r="C31">
        <v>2010</v>
      </c>
      <c r="D31">
        <v>3188</v>
      </c>
      <c r="E31" t="s">
        <v>2</v>
      </c>
      <c r="F31">
        <f t="shared" si="16"/>
        <v>3188</v>
      </c>
      <c r="G31">
        <f t="shared" si="17"/>
        <v>621.004</v>
      </c>
      <c r="H31">
        <f>IF(AND(ISNUMBER(D32),ISNUMBER(B31)),D32,"")</f>
        <v>74</v>
      </c>
      <c r="I31">
        <f t="shared" si="18"/>
        <v>621.004</v>
      </c>
      <c r="K31">
        <f>IF(ISNUMBER(D31),D31,"")</f>
        <v>3188</v>
      </c>
      <c r="L31" t="str">
        <f t="shared" si="12"/>
        <v>No</v>
      </c>
      <c r="V31" t="e">
        <f t="shared" si="14"/>
        <v>#N/A</v>
      </c>
      <c r="W31">
        <f t="shared" si="15"/>
        <v>3188</v>
      </c>
    </row>
    <row r="32" spans="1:23">
      <c r="A32" s="1">
        <v>2011</v>
      </c>
      <c r="B32">
        <v>651.887</v>
      </c>
      <c r="C32">
        <v>2011</v>
      </c>
      <c r="D32">
        <v>74</v>
      </c>
      <c r="E32" t="s">
        <v>2</v>
      </c>
      <c r="F32">
        <f t="shared" si="16"/>
        <v>74</v>
      </c>
      <c r="G32">
        <f t="shared" si="17"/>
        <v>651.887</v>
      </c>
      <c r="H32" t="str">
        <f>IF(AND(ISNUMBER(D33),ISNUMBER(B32)),D33,"")</f>
        <v/>
      </c>
      <c r="I32" t="str">
        <f t="shared" si="18"/>
        <v/>
      </c>
      <c r="K32">
        <f>IF(ISNUMBER(D32),D32,"")</f>
        <v>74</v>
      </c>
      <c r="L32" t="str">
        <f t="shared" si="12"/>
        <v>No</v>
      </c>
      <c r="V32" t="e">
        <f t="shared" si="14"/>
        <v>#N/A</v>
      </c>
      <c r="W32">
        <f t="shared" si="15"/>
        <v>74</v>
      </c>
    </row>
    <row r="33" spans="1:23">
      <c r="A33" s="1">
        <v>2012</v>
      </c>
      <c r="B33">
        <v>643.248</v>
      </c>
      <c r="C33">
        <v>2012</v>
      </c>
      <c r="D33" t="e">
        <v>#N/A</v>
      </c>
      <c r="E33" t="s">
        <v>3</v>
      </c>
      <c r="F33" t="str">
        <f t="shared" si="16"/>
        <v/>
      </c>
      <c r="G33" t="str">
        <f t="shared" si="17"/>
        <v/>
      </c>
      <c r="H33" t="str">
        <f>IF(AND(ISNUMBER(D34),ISNUMBER(B33)),D34,"")</f>
        <v/>
      </c>
      <c r="I33" t="str">
        <f t="shared" si="18"/>
        <v/>
      </c>
      <c r="K33" t="str">
        <f t="shared" ref="K33:K38" si="19">IF(ISNUMBER(D33),D33,"")</f>
        <v/>
      </c>
      <c r="L33" t="str">
        <f t="shared" ref="L33:L45" si="20">IF(K33="","",IF(K33&gt;$N$9,"Yes","No"))</f>
        <v/>
      </c>
      <c r="V33" t="e">
        <f t="shared" si="14"/>
        <v>#N/A</v>
      </c>
      <c r="W33" t="e">
        <f t="shared" si="15"/>
        <v>#N/A</v>
      </c>
    </row>
    <row r="34" spans="1:23">
      <c r="A34" s="1">
        <v>2013</v>
      </c>
      <c r="B34">
        <v>668.949</v>
      </c>
      <c r="C34">
        <v>2013</v>
      </c>
      <c r="D34" t="e">
        <v>#N/A</v>
      </c>
      <c r="E34" t="s">
        <v>3</v>
      </c>
      <c r="F34" t="str">
        <f t="shared" si="16"/>
        <v/>
      </c>
      <c r="G34" t="str">
        <f t="shared" si="17"/>
        <v/>
      </c>
      <c r="H34">
        <f>IF(AND(ISNUMBER(D35),ISNUMBER(B34)),D35,"")</f>
        <v>35</v>
      </c>
      <c r="I34">
        <f t="shared" si="18"/>
        <v>668.949</v>
      </c>
      <c r="K34" t="str">
        <f t="shared" si="19"/>
        <v/>
      </c>
      <c r="L34" t="str">
        <f t="shared" si="20"/>
        <v/>
      </c>
      <c r="V34" t="e">
        <f t="shared" si="14"/>
        <v>#N/A</v>
      </c>
      <c r="W34" t="e">
        <f t="shared" si="15"/>
        <v>#N/A</v>
      </c>
    </row>
    <row r="35" spans="1:23">
      <c r="A35" s="1">
        <v>2014</v>
      </c>
      <c r="B35">
        <v>573.577</v>
      </c>
      <c r="C35">
        <v>2014</v>
      </c>
      <c r="D35">
        <v>35</v>
      </c>
      <c r="E35" t="s">
        <v>2</v>
      </c>
      <c r="F35">
        <f t="shared" si="16"/>
        <v>35</v>
      </c>
      <c r="G35">
        <f t="shared" si="17"/>
        <v>573.577</v>
      </c>
      <c r="H35">
        <f>IF(AND(ISNUMBER(D36),ISNUMBER(B35)),D36,"")</f>
        <v>13291</v>
      </c>
      <c r="I35">
        <f t="shared" si="18"/>
        <v>573.577</v>
      </c>
      <c r="K35">
        <f t="shared" si="19"/>
        <v>35</v>
      </c>
      <c r="L35" t="str">
        <f t="shared" si="20"/>
        <v>No</v>
      </c>
      <c r="V35" t="e">
        <f t="shared" si="14"/>
        <v>#N/A</v>
      </c>
      <c r="W35">
        <f t="shared" si="15"/>
        <v>35</v>
      </c>
    </row>
    <row r="36" spans="1:23">
      <c r="A36" s="1">
        <v>2015</v>
      </c>
      <c r="B36">
        <v>668.646</v>
      </c>
      <c r="C36">
        <v>2015</v>
      </c>
      <c r="D36">
        <v>13291</v>
      </c>
      <c r="E36" t="s">
        <v>2</v>
      </c>
      <c r="F36">
        <f t="shared" si="16"/>
        <v>13291</v>
      </c>
      <c r="G36">
        <f t="shared" si="17"/>
        <v>668.646</v>
      </c>
      <c r="H36">
        <f>IF(AND(ISNUMBER(D37),ISNUMBER(B36)),D37,"")</f>
        <v>5866</v>
      </c>
      <c r="I36">
        <f t="shared" si="18"/>
        <v>668.646</v>
      </c>
      <c r="K36">
        <f t="shared" si="19"/>
        <v>13291</v>
      </c>
      <c r="L36" t="str">
        <f t="shared" si="20"/>
        <v>Yes</v>
      </c>
      <c r="V36">
        <f>IF(L36="Yes",K36,NA())</f>
        <v>13291</v>
      </c>
      <c r="W36" t="e">
        <f t="shared" si="15"/>
        <v>#N/A</v>
      </c>
    </row>
    <row r="37" spans="1:23">
      <c r="A37" s="1">
        <v>2016</v>
      </c>
      <c r="B37">
        <v>533.888</v>
      </c>
      <c r="C37">
        <v>2016</v>
      </c>
      <c r="D37">
        <v>5866</v>
      </c>
      <c r="E37" t="s">
        <v>2</v>
      </c>
      <c r="F37">
        <f t="shared" si="16"/>
        <v>5866</v>
      </c>
      <c r="G37">
        <f t="shared" si="17"/>
        <v>533.888</v>
      </c>
      <c r="H37">
        <f>IF(AND(ISNUMBER(D38),ISNUMBER(B37)),D38,"")</f>
        <v>4288</v>
      </c>
      <c r="I37">
        <f t="shared" si="18"/>
        <v>533.888</v>
      </c>
      <c r="K37">
        <f t="shared" si="19"/>
        <v>5866</v>
      </c>
      <c r="L37" t="str">
        <f t="shared" si="20"/>
        <v>Yes</v>
      </c>
      <c r="V37">
        <f>IF(L37="Yes",K37,NA())</f>
        <v>5866</v>
      </c>
      <c r="W37" t="e">
        <f t="shared" si="15"/>
        <v>#N/A</v>
      </c>
    </row>
    <row r="38" spans="1:23">
      <c r="A38" s="1">
        <v>2017</v>
      </c>
      <c r="B38">
        <v>543.493</v>
      </c>
      <c r="C38">
        <v>2017</v>
      </c>
      <c r="D38">
        <v>4288</v>
      </c>
      <c r="E38" t="s">
        <v>2</v>
      </c>
      <c r="F38">
        <f t="shared" si="16"/>
        <v>4288</v>
      </c>
      <c r="G38">
        <f t="shared" si="17"/>
        <v>543.493</v>
      </c>
      <c r="H38">
        <f>IF(AND(ISNUMBER(D39),ISNUMBER(B38)),D39,"")</f>
        <v>5719</v>
      </c>
      <c r="I38">
        <f t="shared" ref="I38:I45" si="21">IF(AND(ISNUMBER(D39),ISNUMBER(B38)),B38,"")</f>
        <v>543.493</v>
      </c>
      <c r="K38">
        <f t="shared" si="19"/>
        <v>4288</v>
      </c>
      <c r="L38" t="str">
        <f t="shared" si="20"/>
        <v>No</v>
      </c>
      <c r="V38" t="e">
        <f t="shared" ref="V38:V44" si="22">IF(L38="Yes",K38,NA())</f>
        <v>#N/A</v>
      </c>
      <c r="W38">
        <f t="shared" si="15"/>
        <v>4288</v>
      </c>
    </row>
    <row r="39" spans="1:23">
      <c r="A39" s="1">
        <v>2018</v>
      </c>
      <c r="B39">
        <v>882.313</v>
      </c>
      <c r="C39">
        <v>2018</v>
      </c>
      <c r="D39">
        <v>5719</v>
      </c>
      <c r="E39" t="s">
        <v>2</v>
      </c>
      <c r="F39">
        <f t="shared" si="16"/>
        <v>5719</v>
      </c>
      <c r="G39">
        <f t="shared" si="17"/>
        <v>882.313</v>
      </c>
      <c r="H39">
        <f>IF(AND(ISNUMBER(D40),ISNUMBER(B39)),D40,"")</f>
        <v>5208</v>
      </c>
      <c r="I39">
        <f t="shared" si="21"/>
        <v>882.313</v>
      </c>
      <c r="K39">
        <f>IF(ISNUMBER(D39),D39,"")</f>
        <v>5719</v>
      </c>
      <c r="L39" t="str">
        <f t="shared" si="20"/>
        <v>Yes</v>
      </c>
      <c r="V39">
        <f t="shared" si="22"/>
        <v>5719</v>
      </c>
      <c r="W39" t="e">
        <f t="shared" si="15"/>
        <v>#N/A</v>
      </c>
    </row>
    <row r="40" spans="1:23">
      <c r="A40" s="1">
        <v>2019</v>
      </c>
      <c r="B40">
        <v>831.749</v>
      </c>
      <c r="C40">
        <v>2019</v>
      </c>
      <c r="D40">
        <v>5208</v>
      </c>
      <c r="E40" t="s">
        <v>2</v>
      </c>
      <c r="F40">
        <f t="shared" si="16"/>
        <v>5208</v>
      </c>
      <c r="G40">
        <f t="shared" si="17"/>
        <v>831.749</v>
      </c>
      <c r="H40">
        <f>IF(AND(ISNUMBER(D41),ISNUMBER(B40)),D41,"")</f>
        <v>447</v>
      </c>
      <c r="I40">
        <f t="shared" si="21"/>
        <v>831.749</v>
      </c>
      <c r="K40">
        <f t="shared" ref="K40:K45" si="23">IF(ISNUMBER(D40),D40,"")</f>
        <v>5208</v>
      </c>
      <c r="L40" t="str">
        <f t="shared" si="20"/>
        <v>Yes</v>
      </c>
      <c r="V40">
        <f t="shared" si="22"/>
        <v>5208</v>
      </c>
      <c r="W40" t="e">
        <f t="shared" si="15"/>
        <v>#N/A</v>
      </c>
    </row>
    <row r="41" spans="1:23">
      <c r="A41" s="1">
        <v>2020</v>
      </c>
      <c r="B41">
        <v>843.661</v>
      </c>
      <c r="C41">
        <v>2020</v>
      </c>
      <c r="D41">
        <v>447</v>
      </c>
      <c r="E41" t="s">
        <v>2</v>
      </c>
      <c r="F41">
        <f t="shared" si="16"/>
        <v>447</v>
      </c>
      <c r="G41">
        <f t="shared" si="17"/>
        <v>843.661</v>
      </c>
      <c r="H41">
        <f>IF(AND(ISNUMBER(D42),ISNUMBER(B41)),D42,"")</f>
        <v>38</v>
      </c>
      <c r="I41">
        <f t="shared" si="21"/>
        <v>843.661</v>
      </c>
      <c r="K41">
        <f t="shared" si="23"/>
        <v>447</v>
      </c>
      <c r="L41" t="str">
        <f t="shared" si="20"/>
        <v>No</v>
      </c>
      <c r="V41" t="e">
        <f t="shared" si="22"/>
        <v>#N/A</v>
      </c>
      <c r="W41">
        <f>IF(L41="No",K41,NA())</f>
        <v>447</v>
      </c>
    </row>
    <row r="42" spans="1:23">
      <c r="A42" s="1">
        <v>2021</v>
      </c>
      <c r="B42">
        <v>538.512</v>
      </c>
      <c r="C42">
        <v>2021</v>
      </c>
      <c r="D42">
        <v>38</v>
      </c>
      <c r="E42" t="s">
        <v>2</v>
      </c>
      <c r="F42">
        <f t="shared" si="16"/>
        <v>38</v>
      </c>
      <c r="G42">
        <f>IF(AND(ISNUMBER(D42),ISNUMBER(B42)),B42,"")</f>
        <v>538.512</v>
      </c>
      <c r="H42">
        <f>IF(AND(ISNUMBER(D43),ISNUMBER(B42)),D43,"")</f>
        <v>3525</v>
      </c>
      <c r="I42">
        <f t="shared" si="21"/>
        <v>538.512</v>
      </c>
      <c r="K42">
        <f t="shared" si="23"/>
        <v>38</v>
      </c>
      <c r="L42" t="str">
        <f t="shared" si="20"/>
        <v>No</v>
      </c>
      <c r="V42" t="e">
        <f t="shared" si="22"/>
        <v>#N/A</v>
      </c>
      <c r="W42">
        <f>IF(L42="No",K42,NA())</f>
        <v>38</v>
      </c>
    </row>
    <row r="43" spans="1:23">
      <c r="A43" s="1">
        <v>2022</v>
      </c>
      <c r="B43">
        <v>529.564</v>
      </c>
      <c r="C43">
        <v>2022</v>
      </c>
      <c r="D43">
        <v>3525</v>
      </c>
      <c r="E43" t="s">
        <v>2</v>
      </c>
      <c r="F43">
        <f t="shared" si="16"/>
        <v>3525</v>
      </c>
      <c r="G43">
        <f>IF(AND(ISNUMBER(D43),ISNUMBER(B43)),B43,"")</f>
        <v>529.564</v>
      </c>
      <c r="H43">
        <f>IF(AND(ISNUMBER(D44),ISNUMBER(B43)),D44,"")</f>
        <v>8809</v>
      </c>
      <c r="I43">
        <f t="shared" si="21"/>
        <v>529.564</v>
      </c>
      <c r="K43">
        <f t="shared" si="23"/>
        <v>3525</v>
      </c>
      <c r="L43" t="str">
        <f t="shared" si="20"/>
        <v>No</v>
      </c>
      <c r="V43" t="e">
        <f t="shared" si="22"/>
        <v>#N/A</v>
      </c>
      <c r="W43">
        <f>IF(L43="No",K43,NA())</f>
        <v>3525</v>
      </c>
    </row>
    <row r="44" spans="1:23">
      <c r="A44" s="1">
        <v>2023</v>
      </c>
      <c r="B44">
        <v>856.98</v>
      </c>
      <c r="C44">
        <v>2023</v>
      </c>
      <c r="D44">
        <v>8809</v>
      </c>
      <c r="E44" t="s">
        <v>2</v>
      </c>
      <c r="F44">
        <f t="shared" si="16"/>
        <v>8809</v>
      </c>
      <c r="G44">
        <f>IF(AND(ISNUMBER(D44),ISNUMBER(B44)),B44,"")</f>
        <v>856.98</v>
      </c>
      <c r="H44">
        <f>IF(AND(ISNUMBER(D45),ISNUMBER(B44)),D45,"")</f>
        <v>302</v>
      </c>
      <c r="I44">
        <f t="shared" si="21"/>
        <v>856.98</v>
      </c>
      <c r="K44">
        <f t="shared" si="23"/>
        <v>8809</v>
      </c>
      <c r="L44" t="str">
        <f t="shared" si="20"/>
        <v>Yes</v>
      </c>
      <c r="V44">
        <f t="shared" si="22"/>
        <v>8809</v>
      </c>
      <c r="W44" t="e">
        <f>IF(L44="No",K44,NA())</f>
        <v>#N/A</v>
      </c>
    </row>
    <row r="45" spans="1:23">
      <c r="A45" s="1">
        <v>2024</v>
      </c>
      <c r="B45">
        <v>763.005</v>
      </c>
      <c r="C45">
        <v>2024</v>
      </c>
      <c r="D45">
        <v>302</v>
      </c>
      <c r="E45" t="s">
        <v>2</v>
      </c>
      <c r="F45">
        <f>IF(AND(ISNUMBER(D45),ISNUMBER(B45)),D45,"")</f>
        <v>302</v>
      </c>
      <c r="G45">
        <f>IF(AND(ISNUMBER(D45),ISNUMBER(B45)),B45,"")</f>
        <v>763.005</v>
      </c>
      <c r="H45" t="str">
        <f>IF(AND(ISNUMBER(D46),ISNUMBER(B45)),D46,"")</f>
        <v/>
      </c>
      <c r="I45" t="str">
        <f>IF(AND(ISNUMBER(D46),ISNUMBER(B45)),B45,"")</f>
        <v/>
      </c>
      <c r="K45">
        <f t="shared" si="23"/>
        <v>302</v>
      </c>
      <c r="L45" t="str">
        <f t="shared" si="20"/>
        <v>No</v>
      </c>
      <c r="V45" t="e">
        <f>IF(L45="Yes",K45,NA())</f>
        <v>#N/A</v>
      </c>
      <c r="W45">
        <f>IF(L45="No",K45,NA())</f>
        <v>302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ee-chart</vt:lpstr>
      <vt:lpstr>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Nancy</cp:lastModifiedBy>
  <dcterms:created xsi:type="dcterms:W3CDTF">2026-10-16T05:56:23Z</dcterms:created>
  <dcterms:modified xsi:type="dcterms:W3CDTF">2026-10-16T08:09:14Z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DDB9F94302614A67A4BB4F1B7F299C8E_13</vt:lpwstr>
  </property>
</Properties>
</file>